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érios" sheetId="1" state="visible" r:id="rId1"/>
    <sheet name="Benchma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22" customWidth="1" min="3" max="3"/>
    <col width="16" customWidth="1" min="4" max="4"/>
    <col width="110" customWidth="1" min="5" max="5"/>
  </cols>
  <sheetData>
    <row r="1">
      <c r="A1" s="1" t="inlineStr">
        <is>
          <t>Critério</t>
        </is>
      </c>
      <c r="B1" s="1" t="inlineStr">
        <is>
          <t>Peso (1-5)</t>
        </is>
      </c>
      <c r="C1" s="1" t="inlineStr">
        <is>
          <t>Timescale+PostGIS (0-5)</t>
        </is>
      </c>
      <c r="D1" s="1" t="inlineStr">
        <is>
          <t>MySQL 8.4 (0-5)</t>
        </is>
      </c>
      <c r="E1" s="1" t="inlineStr">
        <is>
          <t>Evidência / fonte</t>
        </is>
      </c>
    </row>
    <row r="2">
      <c r="A2" s="2" t="inlineStr">
        <is>
          <t>Raster PE3D (cota, declividade, bacia em SQL)</t>
        </is>
      </c>
      <c r="B2" s="2" t="n">
        <v>5</v>
      </c>
      <c r="C2" s="2" t="n">
        <v>5</v>
      </c>
      <c r="D2" s="2" t="n">
        <v>1</v>
      </c>
      <c r="E2" s="2" t="inlineStr">
        <is>
          <t>PostGIS 3.6.4: ST_Value/ST_Clip/ST_Slope testados em 31985 (benchmark-banco-2026-10-10.md §7). MySQL 8.4: só geometria vetorial (dev.mysql.com/doc/refman/8.4/en/spatial-types.html)</t>
        </is>
      </c>
    </row>
    <row r="3">
      <c r="A3" s="2" t="inlineStr">
        <is>
          <t>Custo/risco de migração</t>
        </is>
      </c>
      <c r="B3" s="2" t="n">
        <v>4</v>
      </c>
      <c r="C3" s="2" t="n">
        <v>5</v>
      </c>
      <c r="D3" s="2" t="n">
        <v>1</v>
      </c>
      <c r="E3" s="2" t="inlineStr">
        <is>
          <t>V1 roda sem alteração na imagem nova; MySQL exige reescrever V1, 2 consultas DISTINCT ON (SensorDataRepository:17,47), testes</t>
        </is>
      </c>
    </row>
    <row r="4">
      <c r="A4" s="2" t="inlineStr">
        <is>
          <t>Compressão do histórico</t>
        </is>
      </c>
      <c r="B4" s="2" t="n">
        <v>3</v>
      </c>
      <c r="C4" s="2" t="n">
        <v>5</v>
      </c>
      <c r="D4" s="2" t="n">
        <v>3</v>
      </c>
      <c r="E4" s="2" t="inlineStr">
        <is>
          <t>688 MB→126 MB (5,46×) vs MySQL comprimido 240 MB (2,05×) (benchmark-banco-2026-10-10.md §3)</t>
        </is>
      </c>
    </row>
    <row r="5">
      <c r="A5" s="2" t="inlineStr">
        <is>
          <t>Consulta de export 1 ponto × 5 anos</t>
        </is>
      </c>
      <c r="B5" s="2" t="n">
        <v>2</v>
      </c>
      <c r="C5" s="2" t="n">
        <v>4</v>
      </c>
      <c r="D5" s="2" t="n">
        <v>3</v>
      </c>
      <c r="E5" s="2" t="inlineStr">
        <is>
          <t>50–59 ms vs ~91 ms; ambos sub-segundo (benchmark-banco-2026-10-10.md §4)</t>
        </is>
      </c>
    </row>
    <row r="6">
      <c r="A6" s="2" t="inlineStr">
        <is>
          <t>Agregação contínua incremental</t>
        </is>
      </c>
      <c r="B6" s="2" t="n">
        <v>3</v>
      </c>
      <c r="C6" s="2" t="n">
        <v>5</v>
      </c>
      <c r="D6" s="2" t="n">
        <v>2</v>
      </c>
      <c r="E6" s="2" t="inlineStr">
        <is>
          <t>Refresh 1 dia = 54 ms automático; MySQL: tabela-resumo + job próprio (benchmark-banco-2026-10-10.md §5)</t>
        </is>
      </c>
    </row>
    <row r="7">
      <c r="A7" s="2" t="inlineStr">
        <is>
          <t>Hospedagem gerenciada disponível</t>
        </is>
      </c>
      <c r="B7" s="2" t="n">
        <v>3</v>
      </c>
      <c r="C7" s="2" t="n">
        <v>3</v>
      </c>
      <c r="D7" s="2" t="n">
        <v>5</v>
      </c>
      <c r="E7" s="2" t="inlineStr">
        <is>
          <t>MySQL amplamente ofertado. Timescale: Tiger Cloud/VM; Azure só Apache sem compressão; RDS lista PostGIS 3.4.6 mas timescaledb não confirmado (docs.aws.amazon.com …postgresql-extensions.html)</t>
        </is>
      </c>
    </row>
    <row r="8">
      <c r="A8" s="2" t="inlineStr">
        <is>
          <t>Operação por Prefeitura/Defesa Civil</t>
        </is>
      </c>
      <c r="B8" s="2" t="n">
        <v>3</v>
      </c>
      <c r="C8" s="2" t="n">
        <v>3</v>
      </c>
      <c r="D8" s="2" t="n">
        <v>4</v>
      </c>
      <c r="E8" s="2" t="inlineStr">
        <is>
          <t>pg_dump 15,6 s / pg_restore 11,4 s testados; restauração exige pre/post_restore. Familiaridade institucional [sem fonte]</t>
        </is>
      </c>
    </row>
    <row r="9">
      <c r="A9" s="2" t="inlineStr">
        <is>
          <t>Tamanho/peso da imagem</t>
        </is>
      </c>
      <c r="B9" s="2" t="n">
        <v>1</v>
      </c>
      <c r="C9" s="2" t="n">
        <v>2</v>
      </c>
      <c r="D9" s="2" t="n">
        <v>4</v>
      </c>
      <c r="E9" s="2" t="inlineStr">
        <is>
          <t>timescaledb-ha 4,38 GB vs atual 1,94 GB; mysql:8.4 não medido</t>
        </is>
      </c>
    </row>
    <row r="10">
      <c r="A10" s="2" t="inlineStr">
        <is>
          <t>Reprodutibilidade (tag fixa)</t>
        </is>
      </c>
      <c r="B10" s="2" t="n">
        <v>3</v>
      </c>
      <c r="C10" s="2" t="n">
        <v>4</v>
      </c>
      <c r="D10" s="2" t="n">
        <v>4</v>
      </c>
      <c r="E10" s="2" t="inlineStr">
        <is>
          <t>timescaledb-ha:pg16.15-ts2.30.2, digest sha256:ce47ce9026b0…</t>
        </is>
      </c>
    </row>
    <row r="11">
      <c r="A11" s="3" t="inlineStr">
        <is>
          <t>Pontuação ponderada (Σ peso×nota)</t>
        </is>
      </c>
      <c r="B11" s="3" t="inlineStr"/>
      <c r="C11" s="3">
        <f>SUMPRODUCT(B2:B10,C2:C10)</f>
        <v/>
      </c>
      <c r="D11" s="3">
        <f>SUMPRODUCT(B2:B10,D2:D10)</f>
        <v/>
      </c>
      <c r="E11" s="3" t="inlineStr">
        <is>
          <t>Notas 0-5 são julgamento do autor; peso e nota são editáveis</t>
        </is>
      </c>
    </row>
    <row r="12">
      <c r="A12" s="3" t="inlineStr">
        <is>
          <t>Máximo possível</t>
        </is>
      </c>
      <c r="B12" s="3" t="inlineStr"/>
      <c r="C12" s="3">
        <f>SUM(B2:B10)*5</f>
        <v/>
      </c>
      <c r="D12" s="3">
        <f>SUM(B2:B10)*5</f>
        <v/>
      </c>
      <c r="E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26" customWidth="1" min="3" max="3"/>
    <col width="24" customWidth="1" min="4" max="4"/>
    <col width="90" customWidth="1" min="5" max="5"/>
  </cols>
  <sheetData>
    <row r="1">
      <c r="A1" s="1" t="inlineStr">
        <is>
          <t>Métrica</t>
        </is>
      </c>
      <c r="B1" s="1" t="inlineStr">
        <is>
          <t>Unidade</t>
        </is>
      </c>
      <c r="C1" s="1" t="inlineStr">
        <is>
          <t>Timescale+PostGIS</t>
        </is>
      </c>
      <c r="D1" s="1" t="inlineStr">
        <is>
          <t>MySQL 8.4</t>
        </is>
      </c>
      <c r="E1" s="1" t="inlineStr">
        <is>
          <t>Origem</t>
        </is>
      </c>
    </row>
    <row r="2">
      <c r="A2" s="2" t="inlineStr">
        <is>
          <t>Linhas weather_data (50 pontos × 5 anos)</t>
        </is>
      </c>
      <c r="B2" s="2" t="inlineStr">
        <is>
          <t>linhas</t>
        </is>
      </c>
      <c r="C2" s="4" t="n">
        <v>2191200</v>
      </c>
      <c r="D2" s="4" t="n">
        <v>2191200</v>
      </c>
      <c r="E2" s="2" t="inlineStr">
        <is>
          <t>gerado por generate_series / LOAD DATA</t>
        </is>
      </c>
    </row>
    <row r="3">
      <c r="A3" s="2" t="inlineStr">
        <is>
          <t>Tamanho sem compressão</t>
        </is>
      </c>
      <c r="B3" s="2" t="inlineStr">
        <is>
          <t>bytes</t>
        </is>
      </c>
      <c r="C3" s="4" t="n">
        <v>688128000</v>
      </c>
      <c r="D3" s="4" t="n">
        <v>493273088</v>
      </c>
      <c r="E3" s="2" t="inlineStr">
        <is>
          <t>hypertable_size / information_schema</t>
        </is>
      </c>
    </row>
    <row r="4">
      <c r="A4" s="2" t="inlineStr">
        <is>
          <t>Tamanho com compressão</t>
        </is>
      </c>
      <c r="B4" s="2" t="inlineStr">
        <is>
          <t>bytes</t>
        </is>
      </c>
      <c r="C4" s="4" t="n">
        <v>126115840</v>
      </c>
      <c r="D4" s="4" t="n">
        <v>239812608</v>
      </c>
      <c r="E4" s="2" t="inlineStr">
        <is>
          <t>hypertable_compression_stats / ROW_FORMAT=COMPRESSED KEY_BLOCK_SIZE=8</t>
        </is>
      </c>
    </row>
    <row r="5">
      <c r="A5" s="2" t="inlineStr">
        <is>
          <t>Razão sem/com compressão</t>
        </is>
      </c>
      <c r="B5" s="2" t="inlineStr">
        <is>
          <t>x</t>
        </is>
      </c>
      <c r="C5" s="2">
        <f>C3/C4</f>
        <v/>
      </c>
      <c r="D5" s="2">
        <f>D3/D4</f>
        <v/>
      </c>
      <c r="E5" s="2" t="inlineStr">
        <is>
          <t>calculado</t>
        </is>
      </c>
    </row>
    <row r="6">
      <c r="A6" s="2" t="inlineStr">
        <is>
          <t>Consulta 1 ponto × 30 dias, quente (melhor das 3)</t>
        </is>
      </c>
      <c r="B6" s="2" t="inlineStr">
        <is>
          <t>ms</t>
        </is>
      </c>
      <c r="C6" s="2" t="n">
        <v>1.12</v>
      </c>
      <c r="D6" s="2" t="n">
        <v>1.24</v>
      </c>
      <c r="E6" s="2" t="inlineStr">
        <is>
          <t>EXPLAIN ANALYZE; Timescale com compr.: 1,12–1,19; MySQL particionado 1,24–1,71</t>
        </is>
      </c>
    </row>
    <row r="7">
      <c r="A7" s="2" t="inlineStr">
        <is>
          <t>Consulta 1 ponto × 5 anos, quente (melhor das 3)</t>
        </is>
      </c>
      <c r="B7" s="2" t="inlineStr">
        <is>
          <t>ms</t>
        </is>
      </c>
      <c r="C7" s="2" t="n">
        <v>58.7</v>
      </c>
      <c r="D7" s="2" t="n">
        <v>90.59999999999999</v>
      </c>
      <c r="E7" s="2" t="inlineStr">
        <is>
          <t>Timescale com compr. 58,7–59,2 (sem compr. 49,9–50,2); MySQL 90,6–116</t>
        </is>
      </c>
    </row>
    <row r="8">
      <c r="A8" s="2" t="inlineStr">
        <is>
          <t>Planejamento 5 anos (Timescale, 261 chunks)</t>
        </is>
      </c>
      <c r="B8" s="2" t="inlineStr">
        <is>
          <t>ms</t>
        </is>
      </c>
      <c r="C8" s="2" t="n">
        <v>91.2</v>
      </c>
      <c r="D8" s="2" t="inlineStr"/>
      <c r="E8" s="2" t="inlineStr">
        <is>
          <t>EXPLAIN ANALYZE, com compressão (sem: 39–41)</t>
        </is>
      </c>
    </row>
    <row r="9">
      <c r="A9" s="2" t="inlineStr">
        <is>
          <t>Refresh cagg hourly_precipitation (3 155 328 → 525 888)</t>
        </is>
      </c>
      <c r="B9" s="2" t="inlineStr">
        <is>
          <t>s</t>
        </is>
      </c>
      <c r="C9" s="2" t="n">
        <v>12</v>
      </c>
      <c r="D9" s="2" t="inlineStr"/>
      <c r="E9" s="2" t="inlineStr">
        <is>
          <t>refresh_continuous_aggregate</t>
        </is>
      </c>
    </row>
    <row r="10">
      <c r="A10" s="2" t="inlineStr">
        <is>
          <t>Refresh cagg weather_hourly (2 191 200 → 2 191 200)</t>
        </is>
      </c>
      <c r="B10" s="2" t="inlineStr">
        <is>
          <t>s</t>
        </is>
      </c>
      <c r="C10" s="2" t="n">
        <v>27.6</v>
      </c>
      <c r="D10" s="2" t="n">
        <v>17.2</v>
      </c>
      <c r="E10" s="2" t="inlineStr">
        <is>
          <t>MySQL: INSERT…SELECT GROUP BY manual</t>
        </is>
      </c>
    </row>
    <row r="11">
      <c r="A11" s="2" t="inlineStr">
        <is>
          <t>Refresh incremental de 1 dia</t>
        </is>
      </c>
      <c r="B11" s="2" t="inlineStr">
        <is>
          <t>ms</t>
        </is>
      </c>
      <c r="C11" s="2" t="n">
        <v>54</v>
      </c>
      <c r="D11" s="2" t="inlineStr">
        <is>
          <t>sem equivalente nativo</t>
        </is>
      </c>
      <c r="E11" s="2" t="inlineStr">
        <is>
          <t>refresh_continuous_aggregate janela 1 dia</t>
        </is>
      </c>
    </row>
    <row r="12">
      <c r="A12" s="2" t="inlineStr">
        <is>
          <t>Carga de 2 191 200 linhas</t>
        </is>
      </c>
      <c r="B12" s="2" t="inlineStr">
        <is>
          <t>s</t>
        </is>
      </c>
      <c r="C12" s="2" t="n">
        <v>37.3</v>
      </c>
      <c r="D12" s="2" t="n">
        <v>13.2</v>
      </c>
      <c r="E12" s="2" t="inlineStr">
        <is>
          <t>INSERT…generate_series (gerar+inserir) vs LOAD DATA (só inserir; não comparável)</t>
        </is>
      </c>
    </row>
    <row r="13">
      <c r="A13" s="2" t="inlineStr">
        <is>
          <t>Compressão de 261 chunks weather_data</t>
        </is>
      </c>
      <c r="B13" s="2" t="inlineStr">
        <is>
          <t>s</t>
        </is>
      </c>
      <c r="C13" s="2" t="n">
        <v>3.1</v>
      </c>
      <c r="D13" s="2" t="inlineStr"/>
      <c r="E13" s="2" t="inlineStr">
        <is>
          <t>compress_chunk</t>
        </is>
      </c>
    </row>
    <row r="14">
      <c r="A14" s="2" t="inlineStr">
        <is>
          <t>sensor_data 3 155 328 linhas: sem → com compressão</t>
        </is>
      </c>
      <c r="B14" s="2" t="inlineStr">
        <is>
          <t>bytes</t>
        </is>
      </c>
      <c r="C14" s="2" t="inlineStr">
        <is>
          <t>1111269376 → 177446912</t>
        </is>
      </c>
      <c r="D14" s="2" t="inlineStr"/>
      <c r="E14" s="2" t="inlineStr">
        <is>
          <t>hypertable_compression_stats</t>
        </is>
      </c>
    </row>
    <row r="15">
      <c r="A15" s="2" t="inlineStr">
        <is>
          <t>pg_dump -Fc (banco de teste)</t>
        </is>
      </c>
      <c r="B15" s="2" t="inlineStr">
        <is>
          <t>s / bytes</t>
        </is>
      </c>
      <c r="C15" s="2" t="inlineStr">
        <is>
          <t>15,6 s / 177 359 148</t>
        </is>
      </c>
      <c r="D15" s="2" t="inlineStr"/>
      <c r="E15" s="2" t="inlineStr">
        <is>
          <t>pg_dump</t>
        </is>
      </c>
    </row>
    <row r="16">
      <c r="A16" s="2" t="inlineStr">
        <is>
          <t>pg_restore (com pre/post_restore)</t>
        </is>
      </c>
      <c r="B16" s="2" t="inlineStr">
        <is>
          <t>s</t>
        </is>
      </c>
      <c r="C16" s="2" t="n">
        <v>11.4</v>
      </c>
      <c r="D16" s="2" t="inlineStr"/>
      <c r="E16" s="2" t="inlineStr">
        <is>
          <t>pg_restore</t>
        </is>
      </c>
    </row>
    <row r="17">
      <c r="A17" s="2" t="inlineStr">
        <is>
          <t>ST_Value em raster sintético 31985</t>
        </is>
      </c>
      <c r="B17" s="2" t="inlineStr">
        <is>
          <t>valor</t>
        </is>
      </c>
      <c r="C17" s="2" t="n">
        <v>11.11</v>
      </c>
      <c r="D17" s="2" t="inlineStr">
        <is>
          <t>não disponível</t>
        </is>
      </c>
      <c r="E17" s="2" t="inlineStr">
        <is>
          <t>benchmark §7</t>
        </is>
      </c>
    </row>
    <row r="18">
      <c r="A18" s="2" t="n"/>
      <c r="B18" s="2" t="n"/>
      <c r="C18" s="2" t="n"/>
      <c r="D18" s="2" t="n"/>
      <c r="E18" s="2" t="n"/>
    </row>
    <row r="19">
      <c r="A19" s="2" t="inlineStr">
        <is>
          <t>Volume projetado (5 anos × 8 760 h)</t>
        </is>
      </c>
      <c r="B19" s="2" t="inlineStr"/>
      <c r="C19" s="2" t="inlineStr"/>
      <c r="D19" s="2" t="inlineStr"/>
      <c r="E19" s="2" t="inlineStr"/>
    </row>
    <row r="20">
      <c r="A20" s="3" t="inlineStr">
        <is>
          <t>Pontos</t>
        </is>
      </c>
      <c r="B20" s="3" t="inlineStr">
        <is>
          <t>Linhas</t>
        </is>
      </c>
      <c r="C20" s="3" t="inlineStr">
        <is>
          <t>Valores weather (×8)</t>
        </is>
      </c>
      <c r="D20" s="3" t="inlineStr">
        <is>
          <t>Valores sensor (×14)</t>
        </is>
      </c>
      <c r="E20" s="3" t="inlineStr">
        <is>
          <t>Tamanho extrap. s/ compr. (314 B/linha) MB | c/ compr. (61,5 B/linha) MB</t>
        </is>
      </c>
    </row>
    <row r="21">
      <c r="A21" s="2" t="n">
        <v>5</v>
      </c>
      <c r="B21" s="2">
        <f>A21*8760*5</f>
        <v/>
      </c>
      <c r="C21" s="2">
        <f>B21*8</f>
        <v/>
      </c>
      <c r="D21" s="2">
        <f>B21*14</f>
        <v/>
      </c>
      <c r="E21" s="2">
        <f>TEXT(B21*314/1048576,"0")&amp;" | "&amp;TEXT(B21*61.5/1048576,"0")</f>
        <v/>
      </c>
    </row>
    <row r="22">
      <c r="A22" s="2" t="n">
        <v>20</v>
      </c>
      <c r="B22" s="2">
        <f>A22*8760*5</f>
        <v/>
      </c>
      <c r="C22" s="2">
        <f>B22*8</f>
        <v/>
      </c>
      <c r="D22" s="2">
        <f>B22*14</f>
        <v/>
      </c>
      <c r="E22" s="2">
        <f>TEXT(B22*314/1048576,"0")&amp;" | "&amp;TEXT(B22*61.5/1048576,"0")</f>
        <v/>
      </c>
    </row>
    <row r="23">
      <c r="A23" s="2" t="n">
        <v>50</v>
      </c>
      <c r="B23" s="2">
        <f>A23*8760*5</f>
        <v/>
      </c>
      <c r="C23" s="2">
        <f>B23*8</f>
        <v/>
      </c>
      <c r="D23" s="2">
        <f>B23*14</f>
        <v/>
      </c>
      <c r="E23" s="2">
        <f>TEXT(B23*314/1048576,"0")&amp;" | "&amp;TEXT(B23*61.5/1048576,"0")</f>
        <v/>
      </c>
    </row>
    <row r="24">
      <c r="A24" s="2" t="n">
        <v>200</v>
      </c>
      <c r="B24" s="2">
        <f>A24*8760*5</f>
        <v/>
      </c>
      <c r="C24" s="2">
        <f>B24*8</f>
        <v/>
      </c>
      <c r="D24" s="2">
        <f>B24*14</f>
        <v/>
      </c>
      <c r="E24" s="2">
        <f>TEXT(B24*314/1048576,"0")&amp;" | "&amp;TEXT(B24*61.5/1048576,"0")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2026-10-10T12:37:39Z</dcterms:created>
  <dcterms:modified xsi:type="dcterms:W3CDTF">2026-10-10T12:37:39Z</dcterms:modified>
</cp:coreProperties>
</file>